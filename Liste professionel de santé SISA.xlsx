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ple\documents\Formation Studi\msp\"/>
    </mc:Choice>
  </mc:AlternateContent>
  <xr:revisionPtr revIDLastSave="0" documentId="13_ncr:1_{CAE7426D-6B6C-47EF-B1A1-E0ACF08CEC76}" xr6:coauthVersionLast="47" xr6:coauthVersionMax="47" xr10:uidLastSave="{00000000-0000-0000-0000-000000000000}"/>
  <bookViews>
    <workbookView xWindow="-20" yWindow="3700" windowWidth="20240" windowHeight="21860" xr2:uid="{7286CB7D-E1D9-4181-B9F5-E1CB4D31D783}"/>
  </bookViews>
  <sheets>
    <sheet name="liste" sheetId="3" r:id="rId1"/>
    <sheet name="Feuil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3" l="1"/>
  <c r="D18" i="3"/>
  <c r="D19" i="3"/>
  <c r="D20" i="3"/>
  <c r="D21" i="3"/>
  <c r="D22" i="3"/>
  <c r="D23" i="3"/>
  <c r="D24" i="3"/>
  <c r="D25" i="3"/>
  <c r="D16" i="3"/>
</calcChain>
</file>

<file path=xl/sharedStrings.xml><?xml version="1.0" encoding="utf-8"?>
<sst xmlns="http://schemas.openxmlformats.org/spreadsheetml/2006/main" count="178" uniqueCount="129">
  <si>
    <t xml:space="preserve">Prénoms dans l’ordre d’état civil </t>
  </si>
  <si>
    <t xml:space="preserve">Nom d’usage </t>
  </si>
  <si>
    <t xml:space="preserve">Nom de naissance </t>
  </si>
  <si>
    <t xml:space="preserve">Nationalité </t>
  </si>
  <si>
    <t xml:space="preserve">Qualification professionnelle </t>
  </si>
  <si>
    <t xml:space="preserve">Numéro d’inscription à l’ordre </t>
  </si>
  <si>
    <t xml:space="preserve">Date de naissance </t>
  </si>
  <si>
    <t xml:space="preserve">Lieu de naissance et département </t>
  </si>
  <si>
    <t xml:space="preserve">Si marié: date et lieu de mariage et nom du conjoint avec son patronyme </t>
  </si>
  <si>
    <t xml:space="preserve">Si pacsé : date et lieu de pacse et nom du conjoint avec son patronyme </t>
  </si>
  <si>
    <t>LEDOS</t>
  </si>
  <si>
    <t>PLAIGNARD</t>
  </si>
  <si>
    <t>FRANCAISE</t>
  </si>
  <si>
    <t>Marié</t>
  </si>
  <si>
    <t xml:space="preserve">Numéro RPPS et/ou numéro Adeli </t>
  </si>
  <si>
    <t>Adresse complète personnelle</t>
  </si>
  <si>
    <t>Régime matrimonial marié ,célibataire, divorcé ou pacsé</t>
  </si>
  <si>
    <t xml:space="preserve">Si divorcé: nom de l’ex conjoint avec patronyme et date du jugement et lieu de jugement </t>
  </si>
  <si>
    <t xml:space="preserve">Si marié avec contrat de mariage séparation de bien: date et lieu de la signature du contrat et nom du notaire et lieu d’exercice </t>
  </si>
  <si>
    <t>Dominique Yvonne Berthe</t>
  </si>
  <si>
    <t>Française</t>
  </si>
  <si>
    <t>Chirurgien-Dentiste</t>
  </si>
  <si>
    <t>10000522507/284005923</t>
  </si>
  <si>
    <t>7 place du sycomore 28230 EPERNON</t>
  </si>
  <si>
    <t>Fougeres 35</t>
  </si>
  <si>
    <t>mariée</t>
  </si>
  <si>
    <t>Charles Albert Emile Marie</t>
  </si>
  <si>
    <t>DIDOUT</t>
  </si>
  <si>
    <t>Medecin Généraliste</t>
  </si>
  <si>
    <t>10001995678 /281 0 1483 7</t>
  </si>
  <si>
    <t>70 rue du petit parc 78120 Rambouillet</t>
  </si>
  <si>
    <t>Paris 75</t>
  </si>
  <si>
    <t>Sophie Angèle Jeanne</t>
  </si>
  <si>
    <t>Pédicure-Podologue</t>
  </si>
  <si>
    <t>13 rue Maurice Peltiez 28130 St Martin de Nigelles</t>
  </si>
  <si>
    <t>Rambouillet (78)</t>
  </si>
  <si>
    <t>Mariée</t>
  </si>
  <si>
    <t>2880017040130120</t>
  </si>
  <si>
    <t>Stéphanie</t>
  </si>
  <si>
    <t>LALLIER</t>
  </si>
  <si>
    <t>MEDECIN GENERALISTE</t>
  </si>
  <si>
    <t>3 BIS RUE SAINT DENIS  28230 EPERNON</t>
  </si>
  <si>
    <t>PERRONIN</t>
  </si>
  <si>
    <t>MOUGIN</t>
  </si>
  <si>
    <t>Masseur-Kinesitherapeute</t>
  </si>
  <si>
    <t>287005409</t>
  </si>
  <si>
    <t>10101431566</t>
  </si>
  <si>
    <t>13533</t>
  </si>
  <si>
    <t>1483</t>
  </si>
  <si>
    <t>3185</t>
  </si>
  <si>
    <t>242807463</t>
  </si>
  <si>
    <t>42 Rue de Paty 28130 HANCHES</t>
  </si>
  <si>
    <t>REMIREMONT (78)</t>
  </si>
  <si>
    <t>VERSAILLES, (78)</t>
  </si>
  <si>
    <t>BOUTFOL</t>
  </si>
  <si>
    <t>FEUILLAS</t>
  </si>
  <si>
    <t>8 1000 1995 652</t>
  </si>
  <si>
    <t>1482</t>
  </si>
  <si>
    <t>9 Rue du Clocher 28230 HANCHES</t>
  </si>
  <si>
    <t>ORLEANS (45)</t>
  </si>
  <si>
    <t>Eric, Albert, Pierre</t>
  </si>
  <si>
    <t>8 1000 1997 104</t>
  </si>
  <si>
    <t>Ermenonville la grande (28)</t>
  </si>
  <si>
    <t>Elsa Odile Raymonde</t>
  </si>
  <si>
    <t>LANDAIS</t>
  </si>
  <si>
    <t>RIBARDIERE</t>
  </si>
  <si>
    <t>chirurgien dentiste</t>
  </si>
  <si>
    <t>10003546115</t>
  </si>
  <si>
    <t>51953</t>
  </si>
  <si>
    <t>6 rue de la cave 28210 CHAUDON</t>
  </si>
  <si>
    <t>Mantes la Jolie  (78)</t>
  </si>
  <si>
    <t>Civilité</t>
  </si>
  <si>
    <t>Madame</t>
  </si>
  <si>
    <t>Monsieur</t>
  </si>
  <si>
    <t>41757</t>
  </si>
  <si>
    <t>1609</t>
  </si>
  <si>
    <t>Laetitia</t>
  </si>
  <si>
    <t>PFISTER</t>
  </si>
  <si>
    <t>Francaise</t>
  </si>
  <si>
    <t>diététicienne-nutritionniste</t>
  </si>
  <si>
    <t>28 route des chaises 78125 RAIZEUX</t>
  </si>
  <si>
    <t>Versailles 78</t>
  </si>
  <si>
    <t>pacsé</t>
  </si>
  <si>
    <t>789503265</t>
  </si>
  <si>
    <t>28 avril 1990 chez Me NOEL Roger à Ducey 50</t>
  </si>
  <si>
    <t>LOUREAU</t>
  </si>
  <si>
    <t>26/09/92 à Epernon avec LOUREAU Jean Louis</t>
  </si>
  <si>
    <t>19/12/2020 à Hanches avec Pascal PERRONIN</t>
  </si>
  <si>
    <t>05/07/1980 à Olivet avec Eric BOUTFOL</t>
  </si>
  <si>
    <t>05/07/1980 à Olivet avec Sylvie FEUILLAS</t>
  </si>
  <si>
    <t>17/04/1999 à Chaudon avec Jérôme LANDAIS</t>
  </si>
  <si>
    <t>7 février 1986 chez Maitre POMMERY à Paris</t>
  </si>
  <si>
    <t>17/03/1999  chez  maitre LESCUYER CHAVASSE à DREUX</t>
  </si>
  <si>
    <t xml:space="preserve">19 juin 1992 Chez Me MUNOZ à Maintenon </t>
  </si>
  <si>
    <t xml:space="preserve">04/12/2017 RAMBOUILLET  avec KORAZEMO FRANCIS </t>
  </si>
  <si>
    <t>francaise</t>
  </si>
  <si>
    <t>Ergothérapeute</t>
  </si>
  <si>
    <t>929405546</t>
  </si>
  <si>
    <t xml:space="preserve">6 square de la Pierre Fite 78120 Rambouillet </t>
  </si>
  <si>
    <t>Paris 75020</t>
  </si>
  <si>
    <t>Célibataire</t>
  </si>
  <si>
    <t>VERON-DELOR</t>
  </si>
  <si>
    <t>23/06/1990 à Saint-James avec LEDOS Jean-Pierre</t>
  </si>
  <si>
    <t>11/02/ 1986 à Paris avec REYT Marie Alice</t>
  </si>
  <si>
    <t>MARGUIRAUT</t>
  </si>
  <si>
    <t>Valerie, Marie Georges</t>
  </si>
  <si>
    <t xml:space="preserve">Anaëlle, Marie </t>
  </si>
  <si>
    <t>Sylvie, Jacqueline</t>
  </si>
  <si>
    <t>07/11/2014 - RAMBOUILLET avec DELMOTTE Marc</t>
  </si>
  <si>
    <t>Elsa</t>
  </si>
  <si>
    <t>Dominique</t>
  </si>
  <si>
    <t>Valerie</t>
  </si>
  <si>
    <t>Sylvie</t>
  </si>
  <si>
    <t>Anaëlle</t>
  </si>
  <si>
    <t>Eric</t>
  </si>
  <si>
    <t>Charles</t>
  </si>
  <si>
    <t>Sophie</t>
  </si>
  <si>
    <t>RIBARDIERE Elsa</t>
  </si>
  <si>
    <t>LEDOS Dominique</t>
  </si>
  <si>
    <t>PFISTER Laetitia</t>
  </si>
  <si>
    <t>VERON-DELOR Anaëlle</t>
  </si>
  <si>
    <t>PERRONIN Valerie</t>
  </si>
  <si>
    <t>BOUTFOL Sylvie</t>
  </si>
  <si>
    <t>BOUTFOL Eric</t>
  </si>
  <si>
    <t>LALLIER Stéphanie</t>
  </si>
  <si>
    <t>DIDOUT Charles</t>
  </si>
  <si>
    <t>LOUREAU Sophie</t>
  </si>
  <si>
    <t>02 37 83 59 86</t>
  </si>
  <si>
    <t xml:space="preserve"> Conventionné Secteur 1 sans dépassement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</si>
</sst>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435F7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3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0" borderId="0" xfId="0" applyFont="1"/>
    <xf numFmtId="0" fontId="1" fillId="3" borderId="1" xfId="0" applyFont="1" applyFill="1" applyBorder="1" applyAlignment="1">
      <alignment vertical="top" wrapText="1"/>
    </xf>
    <xf numFmtId="14" fontId="1" fillId="3" borderId="1" xfId="0" applyNumberFormat="1" applyFont="1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0" fillId="0" borderId="0" xfId="0"/>
    <xf numFmtId="0" fontId="2" fillId="4" borderId="3" xfId="0" applyFont="1" applyFill="1" applyBorder="1" applyAlignment="1">
      <alignment vertical="top" wrapText="1"/>
    </xf>
    <xf numFmtId="49" fontId="1" fillId="3" borderId="1" xfId="0" applyNumberFormat="1" applyFont="1" applyFill="1" applyBorder="1" applyAlignment="1">
      <alignment vertical="top" wrapText="1"/>
    </xf>
    <xf numFmtId="0" fontId="0" fillId="0" borderId="1" xfId="0" applyBorder="1"/>
    <xf numFmtId="0" fontId="1" fillId="3" borderId="0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A209-8334-4C7A-B71D-F43FF01C2305}">
  <dimension ref="A1:P25"/>
  <sheetViews>
    <sheetView tabSelected="1" workbookViewId="0">
      <selection activeCell="H16" sqref="H16:H25"/>
    </sheetView>
  </sheetViews>
  <sheetFormatPr baseColWidth="10" defaultRowHeight="14.5" x14ac:dyDescent="0.35"/>
  <cols>
    <col min="1" max="1" width="8.26953125" customWidth="1"/>
    <col min="2" max="2" width="21.81640625" customWidth="1"/>
    <col min="3" max="3" width="10.36328125" customWidth="1"/>
    <col min="4" max="4" width="13.453125" customWidth="1"/>
    <col min="5" max="5" width="9.36328125" bestFit="1" customWidth="1"/>
    <col min="6" max="6" width="18.6328125" customWidth="1"/>
    <col min="7" max="7" width="20.6328125" customWidth="1"/>
    <col min="8" max="8" width="11.36328125" customWidth="1"/>
    <col min="9" max="9" width="17.90625" customWidth="1"/>
    <col min="10" max="10" width="9.90625" customWidth="1"/>
    <col min="11" max="11" width="20.453125" customWidth="1"/>
    <col min="12" max="12" width="6.81640625" customWidth="1"/>
    <col min="13" max="13" width="23.7265625" customWidth="1"/>
    <col min="14" max="14" width="25.81640625" customWidth="1"/>
    <col min="15" max="15" width="12" customWidth="1"/>
    <col min="16" max="16" width="26.54296875" customWidth="1"/>
  </cols>
  <sheetData>
    <row r="1" spans="1:16" s="3" customFormat="1" ht="117" x14ac:dyDescent="0.3">
      <c r="A1" s="8" t="s">
        <v>71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14</v>
      </c>
      <c r="H1" s="8" t="s">
        <v>5</v>
      </c>
      <c r="I1" s="8" t="s">
        <v>15</v>
      </c>
      <c r="J1" s="8" t="s">
        <v>6</v>
      </c>
      <c r="K1" s="8" t="s">
        <v>7</v>
      </c>
      <c r="L1" s="1" t="s">
        <v>16</v>
      </c>
      <c r="M1" s="1" t="s">
        <v>8</v>
      </c>
      <c r="N1" s="1" t="s">
        <v>9</v>
      </c>
      <c r="O1" s="1" t="s">
        <v>17</v>
      </c>
      <c r="P1" s="2" t="s">
        <v>18</v>
      </c>
    </row>
    <row r="2" spans="1:16" ht="24" x14ac:dyDescent="0.35">
      <c r="A2" s="4" t="s">
        <v>72</v>
      </c>
      <c r="B2" s="4" t="s">
        <v>63</v>
      </c>
      <c r="C2" s="4" t="s">
        <v>64</v>
      </c>
      <c r="D2" s="4" t="s">
        <v>65</v>
      </c>
      <c r="E2" s="4" t="s">
        <v>12</v>
      </c>
      <c r="F2" s="4" t="s">
        <v>66</v>
      </c>
      <c r="G2" s="4" t="s">
        <v>67</v>
      </c>
      <c r="H2" s="4" t="s">
        <v>68</v>
      </c>
      <c r="I2" s="4" t="s">
        <v>69</v>
      </c>
      <c r="J2" s="5">
        <v>26647</v>
      </c>
      <c r="K2" s="9" t="s">
        <v>70</v>
      </c>
      <c r="L2" s="4" t="s">
        <v>36</v>
      </c>
      <c r="M2" s="4" t="s">
        <v>90</v>
      </c>
      <c r="N2" s="4"/>
      <c r="O2" s="4"/>
      <c r="P2" s="4" t="s">
        <v>92</v>
      </c>
    </row>
    <row r="3" spans="1:16" ht="24" x14ac:dyDescent="0.35">
      <c r="A3" s="4" t="s">
        <v>72</v>
      </c>
      <c r="B3" s="4" t="s">
        <v>19</v>
      </c>
      <c r="C3" s="4" t="s">
        <v>10</v>
      </c>
      <c r="D3" s="11" t="s">
        <v>11</v>
      </c>
      <c r="E3" s="4" t="s">
        <v>20</v>
      </c>
      <c r="F3" s="4" t="s">
        <v>21</v>
      </c>
      <c r="G3" s="4" t="s">
        <v>22</v>
      </c>
      <c r="H3" s="6" t="s">
        <v>74</v>
      </c>
      <c r="I3" s="4" t="s">
        <v>23</v>
      </c>
      <c r="J3" s="5">
        <v>23658</v>
      </c>
      <c r="K3" s="9" t="s">
        <v>24</v>
      </c>
      <c r="L3" s="4" t="s">
        <v>25</v>
      </c>
      <c r="M3" s="4" t="s">
        <v>102</v>
      </c>
      <c r="N3" s="4"/>
      <c r="O3" s="4"/>
      <c r="P3" s="4" t="s">
        <v>84</v>
      </c>
    </row>
    <row r="4" spans="1:16" ht="24" x14ac:dyDescent="0.35">
      <c r="A4" s="4" t="s">
        <v>72</v>
      </c>
      <c r="B4" s="4" t="s">
        <v>76</v>
      </c>
      <c r="C4" s="4" t="s">
        <v>77</v>
      </c>
      <c r="D4" s="4" t="s">
        <v>77</v>
      </c>
      <c r="E4" s="4" t="s">
        <v>78</v>
      </c>
      <c r="F4" s="4" t="s">
        <v>79</v>
      </c>
      <c r="G4" s="6" t="s">
        <v>83</v>
      </c>
      <c r="H4" s="4"/>
      <c r="I4" s="4" t="s">
        <v>80</v>
      </c>
      <c r="J4" s="5">
        <v>30282</v>
      </c>
      <c r="K4" s="9" t="s">
        <v>81</v>
      </c>
      <c r="L4" s="4" t="s">
        <v>82</v>
      </c>
      <c r="M4" s="4"/>
      <c r="N4" s="4" t="s">
        <v>108</v>
      </c>
      <c r="O4" s="4"/>
      <c r="P4" s="4"/>
    </row>
    <row r="5" spans="1:16" ht="24" x14ac:dyDescent="0.35">
      <c r="A5" s="4" t="s">
        <v>72</v>
      </c>
      <c r="B5" s="4" t="s">
        <v>106</v>
      </c>
      <c r="C5" s="4" t="s">
        <v>101</v>
      </c>
      <c r="D5" s="4" t="s">
        <v>101</v>
      </c>
      <c r="E5" s="4" t="s">
        <v>95</v>
      </c>
      <c r="F5" s="4" t="s">
        <v>96</v>
      </c>
      <c r="G5" s="6" t="s">
        <v>97</v>
      </c>
      <c r="H5" s="4"/>
      <c r="I5" s="4" t="s">
        <v>98</v>
      </c>
      <c r="J5" s="5">
        <v>34171</v>
      </c>
      <c r="K5" s="9" t="s">
        <v>99</v>
      </c>
      <c r="L5" s="4" t="s">
        <v>100</v>
      </c>
      <c r="M5" s="4"/>
      <c r="N5" s="4"/>
      <c r="O5" s="4"/>
      <c r="P5" s="4"/>
    </row>
    <row r="6" spans="1:16" ht="24" x14ac:dyDescent="0.35">
      <c r="A6" s="4" t="s">
        <v>72</v>
      </c>
      <c r="B6" s="4" t="s">
        <v>105</v>
      </c>
      <c r="C6" s="4" t="s">
        <v>42</v>
      </c>
      <c r="D6" s="4" t="s">
        <v>43</v>
      </c>
      <c r="E6" s="4" t="s">
        <v>12</v>
      </c>
      <c r="F6" s="4" t="s">
        <v>44</v>
      </c>
      <c r="G6" s="4" t="s">
        <v>45</v>
      </c>
      <c r="H6" s="4" t="s">
        <v>47</v>
      </c>
      <c r="I6" s="4" t="s">
        <v>51</v>
      </c>
      <c r="J6" s="5">
        <v>25752</v>
      </c>
      <c r="K6" s="9" t="s">
        <v>52</v>
      </c>
      <c r="L6" s="4" t="s">
        <v>36</v>
      </c>
      <c r="M6" s="4" t="s">
        <v>87</v>
      </c>
      <c r="N6" s="4"/>
      <c r="O6" s="4"/>
      <c r="P6" s="4"/>
    </row>
    <row r="7" spans="1:16" ht="24" x14ac:dyDescent="0.35">
      <c r="A7" s="4" t="s">
        <v>72</v>
      </c>
      <c r="B7" s="4" t="s">
        <v>107</v>
      </c>
      <c r="C7" s="4" t="s">
        <v>54</v>
      </c>
      <c r="D7" s="4" t="s">
        <v>55</v>
      </c>
      <c r="E7" s="4" t="s">
        <v>12</v>
      </c>
      <c r="F7" s="12" t="s">
        <v>40</v>
      </c>
      <c r="G7" s="4" t="s">
        <v>56</v>
      </c>
      <c r="H7" s="4" t="s">
        <v>57</v>
      </c>
      <c r="I7" s="4" t="s">
        <v>58</v>
      </c>
      <c r="J7" s="5">
        <v>22161</v>
      </c>
      <c r="K7" s="9" t="s">
        <v>59</v>
      </c>
      <c r="L7" s="4" t="s">
        <v>36</v>
      </c>
      <c r="M7" s="4" t="s">
        <v>88</v>
      </c>
      <c r="N7" s="4"/>
      <c r="O7" s="4"/>
      <c r="P7" s="4" t="s">
        <v>93</v>
      </c>
    </row>
    <row r="8" spans="1:16" ht="24" x14ac:dyDescent="0.35">
      <c r="A8" s="4" t="s">
        <v>73</v>
      </c>
      <c r="B8" s="4" t="s">
        <v>60</v>
      </c>
      <c r="C8" s="4" t="s">
        <v>54</v>
      </c>
      <c r="D8" s="4"/>
      <c r="E8" s="4" t="s">
        <v>12</v>
      </c>
      <c r="F8" s="12" t="s">
        <v>40</v>
      </c>
      <c r="G8" s="4" t="s">
        <v>61</v>
      </c>
      <c r="H8" s="6" t="s">
        <v>75</v>
      </c>
      <c r="I8" s="4" t="s">
        <v>58</v>
      </c>
      <c r="J8" s="5">
        <v>21237</v>
      </c>
      <c r="K8" s="9" t="s">
        <v>62</v>
      </c>
      <c r="L8" s="4" t="s">
        <v>36</v>
      </c>
      <c r="M8" s="4" t="s">
        <v>89</v>
      </c>
      <c r="N8" s="4"/>
      <c r="O8" s="4"/>
      <c r="P8" s="4" t="s">
        <v>93</v>
      </c>
    </row>
    <row r="9" spans="1:16" ht="24" x14ac:dyDescent="0.35">
      <c r="A9" s="4" t="s">
        <v>72</v>
      </c>
      <c r="B9" s="4" t="s">
        <v>38</v>
      </c>
      <c r="C9" s="4" t="s">
        <v>39</v>
      </c>
      <c r="D9" s="4" t="s">
        <v>39</v>
      </c>
      <c r="E9" s="4" t="s">
        <v>12</v>
      </c>
      <c r="F9" s="12" t="s">
        <v>40</v>
      </c>
      <c r="G9" s="4" t="s">
        <v>46</v>
      </c>
      <c r="H9" s="4" t="s">
        <v>49</v>
      </c>
      <c r="I9" s="4" t="s">
        <v>41</v>
      </c>
      <c r="J9" s="5">
        <v>32707</v>
      </c>
      <c r="K9" s="9" t="s">
        <v>53</v>
      </c>
      <c r="L9" s="4" t="s">
        <v>82</v>
      </c>
      <c r="M9" s="4"/>
      <c r="N9" s="4" t="s">
        <v>94</v>
      </c>
      <c r="O9" s="4"/>
      <c r="P9" s="4"/>
    </row>
    <row r="10" spans="1:16" s="7" customFormat="1" ht="24" x14ac:dyDescent="0.35">
      <c r="A10" s="4" t="s">
        <v>73</v>
      </c>
      <c r="B10" s="4" t="s">
        <v>26</v>
      </c>
      <c r="C10" s="4" t="s">
        <v>27</v>
      </c>
      <c r="D10" s="10"/>
      <c r="E10" s="4" t="s">
        <v>20</v>
      </c>
      <c r="F10" s="12" t="s">
        <v>28</v>
      </c>
      <c r="G10" s="4" t="s">
        <v>29</v>
      </c>
      <c r="H10" s="4" t="s">
        <v>48</v>
      </c>
      <c r="I10" s="4" t="s">
        <v>30</v>
      </c>
      <c r="J10" s="5">
        <v>21396</v>
      </c>
      <c r="K10" s="9" t="s">
        <v>31</v>
      </c>
      <c r="L10" s="4" t="s">
        <v>13</v>
      </c>
      <c r="M10" s="4" t="s">
        <v>103</v>
      </c>
      <c r="N10" s="4"/>
      <c r="O10" s="4"/>
      <c r="P10" s="4" t="s">
        <v>91</v>
      </c>
    </row>
    <row r="11" spans="1:16" s="7" customFormat="1" ht="36" x14ac:dyDescent="0.35">
      <c r="A11" s="4" t="s">
        <v>72</v>
      </c>
      <c r="B11" s="4" t="s">
        <v>32</v>
      </c>
      <c r="C11" s="4" t="s">
        <v>85</v>
      </c>
      <c r="D11" s="4" t="s">
        <v>104</v>
      </c>
      <c r="E11" s="4" t="s">
        <v>20</v>
      </c>
      <c r="F11" s="4" t="s">
        <v>33</v>
      </c>
      <c r="G11" s="4" t="s">
        <v>37</v>
      </c>
      <c r="H11" s="4" t="s">
        <v>50</v>
      </c>
      <c r="I11" s="4" t="s">
        <v>34</v>
      </c>
      <c r="J11" s="5">
        <v>23909</v>
      </c>
      <c r="K11" s="9" t="s">
        <v>35</v>
      </c>
      <c r="L11" s="4" t="s">
        <v>36</v>
      </c>
      <c r="M11" s="4" t="s">
        <v>86</v>
      </c>
      <c r="N11" s="4"/>
      <c r="O11" s="4"/>
      <c r="P11" s="4"/>
    </row>
    <row r="16" spans="1:16" x14ac:dyDescent="0.35">
      <c r="B16" s="4" t="s">
        <v>65</v>
      </c>
      <c r="C16" s="4" t="s">
        <v>109</v>
      </c>
      <c r="D16" t="str">
        <f>B16 &amp; " " &amp; C16</f>
        <v>RIBARDIERE Elsa</v>
      </c>
      <c r="F16" t="s">
        <v>117</v>
      </c>
      <c r="H16" t="s">
        <v>128</v>
      </c>
    </row>
    <row r="17" spans="2:8" x14ac:dyDescent="0.35">
      <c r="B17" s="4" t="s">
        <v>10</v>
      </c>
      <c r="C17" s="4" t="s">
        <v>110</v>
      </c>
      <c r="D17" s="7" t="str">
        <f t="shared" ref="D17:D25" si="0">B17 &amp; " " &amp; C17</f>
        <v>LEDOS Dominique</v>
      </c>
      <c r="F17" t="s">
        <v>118</v>
      </c>
      <c r="H17" s="7" t="s">
        <v>128</v>
      </c>
    </row>
    <row r="18" spans="2:8" x14ac:dyDescent="0.35">
      <c r="B18" s="4" t="s">
        <v>77</v>
      </c>
      <c r="C18" s="4" t="s">
        <v>76</v>
      </c>
      <c r="D18" s="7" t="str">
        <f t="shared" si="0"/>
        <v>PFISTER Laetitia</v>
      </c>
      <c r="F18" t="s">
        <v>119</v>
      </c>
      <c r="H18" s="7" t="s">
        <v>128</v>
      </c>
    </row>
    <row r="19" spans="2:8" x14ac:dyDescent="0.35">
      <c r="B19" s="4" t="s">
        <v>101</v>
      </c>
      <c r="C19" s="4" t="s">
        <v>113</v>
      </c>
      <c r="D19" s="7" t="str">
        <f t="shared" si="0"/>
        <v>VERON-DELOR Anaëlle</v>
      </c>
      <c r="F19" t="s">
        <v>120</v>
      </c>
      <c r="H19" s="7" t="s">
        <v>128</v>
      </c>
    </row>
    <row r="20" spans="2:8" x14ac:dyDescent="0.35">
      <c r="B20" s="4" t="s">
        <v>42</v>
      </c>
      <c r="C20" s="4" t="s">
        <v>111</v>
      </c>
      <c r="D20" s="7" t="str">
        <f t="shared" si="0"/>
        <v>PERRONIN Valerie</v>
      </c>
      <c r="F20" t="s">
        <v>121</v>
      </c>
      <c r="H20" s="7" t="s">
        <v>128</v>
      </c>
    </row>
    <row r="21" spans="2:8" x14ac:dyDescent="0.35">
      <c r="B21" s="4" t="s">
        <v>54</v>
      </c>
      <c r="C21" s="4" t="s">
        <v>112</v>
      </c>
      <c r="D21" s="7" t="str">
        <f t="shared" si="0"/>
        <v>BOUTFOL Sylvie</v>
      </c>
      <c r="F21" t="s">
        <v>122</v>
      </c>
      <c r="G21" s="13" t="s">
        <v>127</v>
      </c>
      <c r="H21" s="7" t="s">
        <v>128</v>
      </c>
    </row>
    <row r="22" spans="2:8" x14ac:dyDescent="0.35">
      <c r="B22" s="4" t="s">
        <v>54</v>
      </c>
      <c r="C22" s="4" t="s">
        <v>114</v>
      </c>
      <c r="D22" s="7" t="str">
        <f t="shared" si="0"/>
        <v>BOUTFOL Eric</v>
      </c>
      <c r="F22" t="s">
        <v>123</v>
      </c>
      <c r="G22" s="13" t="s">
        <v>127</v>
      </c>
      <c r="H22" s="7" t="s">
        <v>128</v>
      </c>
    </row>
    <row r="23" spans="2:8" x14ac:dyDescent="0.35">
      <c r="B23" s="4" t="s">
        <v>39</v>
      </c>
      <c r="C23" s="4" t="s">
        <v>38</v>
      </c>
      <c r="D23" s="7" t="str">
        <f t="shared" si="0"/>
        <v>LALLIER Stéphanie</v>
      </c>
      <c r="F23" t="s">
        <v>124</v>
      </c>
      <c r="H23" s="7" t="s">
        <v>128</v>
      </c>
    </row>
    <row r="24" spans="2:8" x14ac:dyDescent="0.35">
      <c r="B24" s="4" t="s">
        <v>27</v>
      </c>
      <c r="C24" s="4" t="s">
        <v>115</v>
      </c>
      <c r="D24" s="7" t="str">
        <f t="shared" si="0"/>
        <v>DIDOUT Charles</v>
      </c>
      <c r="F24" t="s">
        <v>125</v>
      </c>
      <c r="H24" s="7" t="s">
        <v>128</v>
      </c>
    </row>
    <row r="25" spans="2:8" x14ac:dyDescent="0.35">
      <c r="B25" s="4" t="s">
        <v>85</v>
      </c>
      <c r="C25" s="4" t="s">
        <v>116</v>
      </c>
      <c r="D25" s="7" t="str">
        <f t="shared" si="0"/>
        <v>LOUREAU Sophie</v>
      </c>
      <c r="F25" t="s">
        <v>126</v>
      </c>
      <c r="H25" s="7" t="s">
        <v>128</v>
      </c>
    </row>
  </sheetData>
  <sortState xmlns:xlrd2="http://schemas.microsoft.com/office/spreadsheetml/2017/richdata2" ref="A2:P12">
    <sortCondition ref="F2:F12"/>
    <sortCondition ref="C2:C12"/>
  </sortState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B2CD-2A4B-48A0-8192-CE99C9605E7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ledos</dc:creator>
  <cp:lastModifiedBy>jp ledos</cp:lastModifiedBy>
  <cp:lastPrinted>2021-04-11T10:59:44Z</cp:lastPrinted>
  <dcterms:created xsi:type="dcterms:W3CDTF">2021-03-18T09:57:27Z</dcterms:created>
  <dcterms:modified xsi:type="dcterms:W3CDTF">2021-05-27T14:35:10Z</dcterms:modified>
</cp:coreProperties>
</file>